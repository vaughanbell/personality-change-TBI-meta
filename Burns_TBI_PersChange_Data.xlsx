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ropbox\Studies\LaurenPersonalitySysReview\Analysis\"/>
    </mc:Choice>
  </mc:AlternateContent>
  <xr:revisionPtr revIDLastSave="0" documentId="13_ncr:1_{0EA4379A-FFF9-439E-A791-0D7D6088925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8" i="1" l="1"/>
  <c r="N14" i="1"/>
  <c r="M13" i="1"/>
  <c r="L13" i="1"/>
  <c r="M12" i="1"/>
  <c r="L12" i="1"/>
  <c r="M11" i="1"/>
  <c r="M8" i="1"/>
  <c r="M2" i="1"/>
</calcChain>
</file>

<file path=xl/sharedStrings.xml><?xml version="1.0" encoding="utf-8"?>
<sst xmlns="http://schemas.openxmlformats.org/spreadsheetml/2006/main" count="162" uniqueCount="72">
  <si>
    <t>Year</t>
  </si>
  <si>
    <t>TBI_N</t>
  </si>
  <si>
    <t>PersChange_N</t>
  </si>
  <si>
    <t>Location</t>
  </si>
  <si>
    <t>Continent</t>
  </si>
  <si>
    <t>StudyDesign</t>
  </si>
  <si>
    <t>DesignCategory</t>
  </si>
  <si>
    <t>OutcomeMeasure</t>
  </si>
  <si>
    <t>OutcomeMeasureStatus</t>
  </si>
  <si>
    <t>MetricType</t>
  </si>
  <si>
    <t>FollowUpMonths</t>
  </si>
  <si>
    <t>mean_age</t>
  </si>
  <si>
    <t>PercentFemales</t>
  </si>
  <si>
    <t>Percent_mTBI</t>
  </si>
  <si>
    <t>Percent_modTBI</t>
  </si>
  <si>
    <t>Percent_sevTBI</t>
  </si>
  <si>
    <t>RiskOfBiasScore</t>
  </si>
  <si>
    <t>Notes</t>
  </si>
  <si>
    <t>Aldossary et al</t>
  </si>
  <si>
    <t>Saudi Arabia</t>
  </si>
  <si>
    <t>Asia</t>
  </si>
  <si>
    <t>Retrospective</t>
  </si>
  <si>
    <t>SCAN</t>
  </si>
  <si>
    <t>Validated</t>
  </si>
  <si>
    <t>Personality change</t>
  </si>
  <si>
    <t>Balan et al</t>
  </si>
  <si>
    <t>Brazil</t>
  </si>
  <si>
    <t>Latin America</t>
  </si>
  <si>
    <t>MINI</t>
  </si>
  <si>
    <t>Secondary PD</t>
  </si>
  <si>
    <t>Diaz et al</t>
  </si>
  <si>
    <t>Prospective</t>
  </si>
  <si>
    <t>SCID</t>
  </si>
  <si>
    <t>Koponen et al</t>
  </si>
  <si>
    <t>Finland</t>
  </si>
  <si>
    <t>Europe</t>
  </si>
  <si>
    <t>Franulic et al</t>
  </si>
  <si>
    <t>Chile</t>
  </si>
  <si>
    <t>Clinical diagnosis</t>
  </si>
  <si>
    <t>Unvalidated</t>
  </si>
  <si>
    <t>Demographics reported from N = 30 (see paper)</t>
  </si>
  <si>
    <t>Thomsen</t>
  </si>
  <si>
    <t>Denmark</t>
  </si>
  <si>
    <t>Includes patients classified as 'dependent' only</t>
  </si>
  <si>
    <t>Weddell et al</t>
  </si>
  <si>
    <t>United Kingdom</t>
  </si>
  <si>
    <t>Patient and information interview</t>
  </si>
  <si>
    <t>Hibbard et al</t>
  </si>
  <si>
    <t>USA</t>
  </si>
  <si>
    <t>North America</t>
  </si>
  <si>
    <t>Weddell Wood</t>
  </si>
  <si>
    <t>Self-report</t>
  </si>
  <si>
    <t xml:space="preserve">Personality change counted if classified as "a lot" or "complete" and not  "none" or "a little". </t>
  </si>
  <si>
    <t>Weddell Leggett</t>
  </si>
  <si>
    <t>Cross-sectional</t>
  </si>
  <si>
    <t>Relative report</t>
  </si>
  <si>
    <t>Li et al</t>
  </si>
  <si>
    <t>China</t>
  </si>
  <si>
    <t>Rao et al</t>
  </si>
  <si>
    <t>Brooks et al</t>
  </si>
  <si>
    <t>Kaitaro et al</t>
  </si>
  <si>
    <t>Lauterbach  et al</t>
  </si>
  <si>
    <t>Only recruited mod-severe TBI but no breakdown given so 50/50 entered</t>
  </si>
  <si>
    <t>Norup et al</t>
  </si>
  <si>
    <t>NEO-FFI</t>
  </si>
  <si>
    <t>OutOf</t>
  </si>
  <si>
    <t>Cohort</t>
  </si>
  <si>
    <t>Diaz et al 2014a</t>
  </si>
  <si>
    <t>Case control</t>
  </si>
  <si>
    <t>Retrospective observational</t>
  </si>
  <si>
    <t>RiskOfBiasPercent</t>
  </si>
  <si>
    <t>Authors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</si>
</sst>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i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"/>
  <sheetViews>
    <sheetView tabSelected="1" zoomScaleNormal="100" workbookViewId="0">
      <pane xSplit="1" topLeftCell="G1" activePane="topRight" state="frozen"/>
      <selection pane="topRight" activeCell="S1" sqref="S1"/>
    </sheetView>
  </sheetViews>
  <sheetFormatPr defaultColWidth="8.5703125" defaultRowHeight="15" customHeight="1" x14ac:dyDescent="0.25"/>
  <cols>
    <col min="1" max="1" width="15.7109375" customWidth="1"/>
    <col min="2" max="2" width="14.5703125" customWidth="1"/>
    <col min="4" max="4" width="14" customWidth="1"/>
    <col min="5" max="5" width="15.42578125" customWidth="1"/>
    <col min="6" max="7" width="28.85546875" customWidth="1"/>
    <col min="8" max="9" width="17" customWidth="1"/>
    <col min="10" max="10" width="20.85546875" customWidth="1"/>
    <col min="11" max="13" width="17" customWidth="1"/>
    <col min="14" max="14" width="10" customWidth="1"/>
    <col min="16" max="16" width="9.85546875" customWidth="1"/>
    <col min="17" max="20" width="8.7109375" customWidth="1"/>
  </cols>
  <sheetData>
    <row r="1" spans="1:21" x14ac:dyDescent="0.25">
      <c r="A1" s="1" t="s">
        <v>71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65</v>
      </c>
      <c r="T1" s="1" t="s">
        <v>70</v>
      </c>
      <c r="U1" s="1" t="s">
        <v>17</v>
      </c>
    </row>
    <row r="2" spans="1:21" ht="15" customHeight="1" x14ac:dyDescent="0.25">
      <c r="A2" t="s">
        <v>18</v>
      </c>
      <c r="B2">
        <v>2019</v>
      </c>
      <c r="C2">
        <v>251</v>
      </c>
      <c r="D2">
        <v>56</v>
      </c>
      <c r="E2" t="s">
        <v>19</v>
      </c>
      <c r="F2" t="s">
        <v>20</v>
      </c>
      <c r="G2" t="s">
        <v>66</v>
      </c>
      <c r="H2" t="s">
        <v>21</v>
      </c>
      <c r="I2" t="s">
        <v>22</v>
      </c>
      <c r="J2" t="s">
        <v>23</v>
      </c>
      <c r="K2" t="s">
        <v>24</v>
      </c>
      <c r="L2">
        <v>12</v>
      </c>
      <c r="M2">
        <f>AVERAGE(39.4, 40.3)</f>
        <v>39.849999999999994</v>
      </c>
      <c r="N2">
        <v>23.1</v>
      </c>
      <c r="O2">
        <v>0</v>
      </c>
      <c r="P2">
        <v>0</v>
      </c>
      <c r="Q2">
        <v>100</v>
      </c>
      <c r="R2">
        <v>8</v>
      </c>
      <c r="S2">
        <v>11</v>
      </c>
      <c r="T2">
        <v>72.727272727272734</v>
      </c>
      <c r="U2" s="2"/>
    </row>
    <row r="3" spans="1:21" x14ac:dyDescent="0.25">
      <c r="A3" t="s">
        <v>25</v>
      </c>
      <c r="B3">
        <v>2021</v>
      </c>
      <c r="C3">
        <v>41</v>
      </c>
      <c r="D3">
        <v>15</v>
      </c>
      <c r="E3" t="s">
        <v>26</v>
      </c>
      <c r="F3" t="s">
        <v>27</v>
      </c>
      <c r="G3" t="s">
        <v>54</v>
      </c>
      <c r="H3" t="s">
        <v>21</v>
      </c>
      <c r="I3" t="s">
        <v>28</v>
      </c>
      <c r="J3" t="s">
        <v>23</v>
      </c>
      <c r="K3" t="s">
        <v>29</v>
      </c>
      <c r="L3">
        <v>36</v>
      </c>
      <c r="M3">
        <v>32</v>
      </c>
      <c r="N3">
        <v>17.100000000000001</v>
      </c>
      <c r="O3">
        <v>0</v>
      </c>
      <c r="P3">
        <v>0</v>
      </c>
      <c r="Q3">
        <v>100</v>
      </c>
      <c r="R3">
        <v>8</v>
      </c>
      <c r="S3">
        <v>8</v>
      </c>
      <c r="T3">
        <v>100</v>
      </c>
    </row>
    <row r="4" spans="1:21" x14ac:dyDescent="0.25">
      <c r="A4" t="s">
        <v>30</v>
      </c>
      <c r="B4">
        <v>2014</v>
      </c>
      <c r="C4">
        <v>41</v>
      </c>
      <c r="D4">
        <v>14</v>
      </c>
      <c r="E4" t="s">
        <v>26</v>
      </c>
      <c r="F4" t="s">
        <v>27</v>
      </c>
      <c r="G4" t="s">
        <v>68</v>
      </c>
      <c r="H4" t="s">
        <v>31</v>
      </c>
      <c r="I4" t="s">
        <v>32</v>
      </c>
      <c r="J4" t="s">
        <v>23</v>
      </c>
      <c r="K4" t="s">
        <v>29</v>
      </c>
      <c r="L4">
        <v>18</v>
      </c>
      <c r="M4">
        <v>31</v>
      </c>
      <c r="N4">
        <v>14.6</v>
      </c>
      <c r="O4">
        <v>0</v>
      </c>
      <c r="P4">
        <v>0</v>
      </c>
      <c r="Q4">
        <v>100</v>
      </c>
      <c r="R4">
        <v>9</v>
      </c>
      <c r="S4">
        <v>10</v>
      </c>
      <c r="T4">
        <v>90</v>
      </c>
      <c r="U4" t="s">
        <v>67</v>
      </c>
    </row>
    <row r="5" spans="1:21" x14ac:dyDescent="0.25">
      <c r="A5" t="s">
        <v>33</v>
      </c>
      <c r="B5">
        <v>2002</v>
      </c>
      <c r="C5">
        <v>60</v>
      </c>
      <c r="D5">
        <v>14</v>
      </c>
      <c r="E5" t="s">
        <v>34</v>
      </c>
      <c r="F5" t="s">
        <v>35</v>
      </c>
      <c r="G5" t="s">
        <v>66</v>
      </c>
      <c r="H5" t="s">
        <v>21</v>
      </c>
      <c r="I5" t="s">
        <v>22</v>
      </c>
      <c r="J5" t="s">
        <v>23</v>
      </c>
      <c r="K5" t="s">
        <v>29</v>
      </c>
      <c r="L5">
        <v>360</v>
      </c>
      <c r="M5">
        <v>60.8</v>
      </c>
      <c r="N5">
        <v>31.7</v>
      </c>
      <c r="O5">
        <v>25</v>
      </c>
      <c r="P5">
        <v>25</v>
      </c>
      <c r="Q5">
        <v>50</v>
      </c>
      <c r="R5">
        <v>5</v>
      </c>
      <c r="S5">
        <v>11</v>
      </c>
      <c r="T5">
        <v>45.454545454545453</v>
      </c>
    </row>
    <row r="6" spans="1:21" x14ac:dyDescent="0.25">
      <c r="A6" t="s">
        <v>30</v>
      </c>
      <c r="B6">
        <v>2012</v>
      </c>
      <c r="C6">
        <v>33</v>
      </c>
      <c r="D6">
        <v>11</v>
      </c>
      <c r="E6" t="s">
        <v>26</v>
      </c>
      <c r="F6" t="s">
        <v>27</v>
      </c>
      <c r="G6" t="s">
        <v>66</v>
      </c>
      <c r="H6" t="s">
        <v>31</v>
      </c>
      <c r="I6" t="s">
        <v>32</v>
      </c>
      <c r="J6" t="s">
        <v>23</v>
      </c>
      <c r="K6" t="s">
        <v>29</v>
      </c>
      <c r="L6">
        <v>18.399999999999999</v>
      </c>
      <c r="M6">
        <v>31.36</v>
      </c>
      <c r="N6">
        <v>12.1</v>
      </c>
      <c r="O6">
        <v>0</v>
      </c>
      <c r="P6">
        <v>0</v>
      </c>
      <c r="Q6">
        <v>100</v>
      </c>
      <c r="R6">
        <v>8</v>
      </c>
      <c r="S6">
        <v>11</v>
      </c>
      <c r="T6">
        <v>72.727272727272734</v>
      </c>
    </row>
    <row r="7" spans="1:21" x14ac:dyDescent="0.25">
      <c r="A7" t="s">
        <v>36</v>
      </c>
      <c r="B7">
        <v>2000</v>
      </c>
      <c r="C7">
        <v>28</v>
      </c>
      <c r="D7">
        <v>9</v>
      </c>
      <c r="E7" t="s">
        <v>37</v>
      </c>
      <c r="F7" t="s">
        <v>27</v>
      </c>
      <c r="G7" t="s">
        <v>66</v>
      </c>
      <c r="H7" t="s">
        <v>31</v>
      </c>
      <c r="I7" t="s">
        <v>38</v>
      </c>
      <c r="J7" t="s">
        <v>39</v>
      </c>
      <c r="K7" t="s">
        <v>29</v>
      </c>
      <c r="L7">
        <v>6</v>
      </c>
      <c r="M7">
        <v>37.200000000000003</v>
      </c>
      <c r="N7">
        <v>83.3</v>
      </c>
      <c r="O7">
        <v>16.600000000000001</v>
      </c>
      <c r="P7">
        <v>16.600000000000001</v>
      </c>
      <c r="Q7">
        <v>66.599999999999994</v>
      </c>
      <c r="R7">
        <v>9</v>
      </c>
      <c r="S7">
        <v>11</v>
      </c>
      <c r="T7">
        <v>81.818181818181827</v>
      </c>
      <c r="U7" t="s">
        <v>40</v>
      </c>
    </row>
    <row r="8" spans="1:21" x14ac:dyDescent="0.25">
      <c r="A8" t="s">
        <v>41</v>
      </c>
      <c r="B8">
        <v>1984</v>
      </c>
      <c r="C8">
        <v>24</v>
      </c>
      <c r="D8">
        <v>19</v>
      </c>
      <c r="E8" t="s">
        <v>42</v>
      </c>
      <c r="F8" t="s">
        <v>35</v>
      </c>
      <c r="G8" t="s">
        <v>66</v>
      </c>
      <c r="H8" t="s">
        <v>31</v>
      </c>
      <c r="I8" t="s">
        <v>38</v>
      </c>
      <c r="J8" t="s">
        <v>39</v>
      </c>
      <c r="K8" t="s">
        <v>24</v>
      </c>
      <c r="L8">
        <v>30.5</v>
      </c>
      <c r="M8">
        <f>AVERAGE(21.5, 27.3)</f>
        <v>24.4</v>
      </c>
      <c r="R8">
        <v>1</v>
      </c>
      <c r="S8">
        <v>11</v>
      </c>
      <c r="T8">
        <v>9.0909090909090917</v>
      </c>
      <c r="U8" t="s">
        <v>43</v>
      </c>
    </row>
    <row r="9" spans="1:21" x14ac:dyDescent="0.25">
      <c r="A9" t="s">
        <v>44</v>
      </c>
      <c r="B9">
        <v>1980</v>
      </c>
      <c r="C9">
        <v>44</v>
      </c>
      <c r="D9">
        <v>31</v>
      </c>
      <c r="E9" t="s">
        <v>45</v>
      </c>
      <c r="F9" t="s">
        <v>35</v>
      </c>
      <c r="G9" t="s">
        <v>66</v>
      </c>
      <c r="H9" t="s">
        <v>31</v>
      </c>
      <c r="I9" t="s">
        <v>46</v>
      </c>
      <c r="J9" t="s">
        <v>39</v>
      </c>
      <c r="K9" t="s">
        <v>24</v>
      </c>
      <c r="L9">
        <v>24</v>
      </c>
      <c r="M9">
        <v>24.4</v>
      </c>
      <c r="N9">
        <v>29.5</v>
      </c>
      <c r="R9">
        <v>7</v>
      </c>
      <c r="S9">
        <v>11</v>
      </c>
      <c r="T9">
        <v>63.636363636363633</v>
      </c>
    </row>
    <row r="10" spans="1:21" x14ac:dyDescent="0.25">
      <c r="A10" t="s">
        <v>47</v>
      </c>
      <c r="B10">
        <v>2000</v>
      </c>
      <c r="C10">
        <v>438</v>
      </c>
      <c r="D10">
        <v>76</v>
      </c>
      <c r="E10" t="s">
        <v>48</v>
      </c>
      <c r="F10" t="s">
        <v>49</v>
      </c>
      <c r="G10" t="s">
        <v>54</v>
      </c>
      <c r="H10" t="s">
        <v>21</v>
      </c>
      <c r="I10" t="s">
        <v>32</v>
      </c>
      <c r="J10" t="s">
        <v>23</v>
      </c>
      <c r="K10" t="s">
        <v>29</v>
      </c>
      <c r="L10">
        <v>91.2</v>
      </c>
      <c r="M10">
        <v>38.799999999999997</v>
      </c>
      <c r="N10">
        <v>47</v>
      </c>
      <c r="O10">
        <v>39</v>
      </c>
      <c r="P10">
        <v>20</v>
      </c>
      <c r="Q10">
        <v>41</v>
      </c>
      <c r="R10">
        <v>7</v>
      </c>
      <c r="S10">
        <v>8</v>
      </c>
      <c r="T10">
        <v>87.5</v>
      </c>
    </row>
    <row r="11" spans="1:21" x14ac:dyDescent="0.25">
      <c r="A11" t="s">
        <v>50</v>
      </c>
      <c r="B11">
        <v>2016</v>
      </c>
      <c r="C11">
        <v>71</v>
      </c>
      <c r="D11">
        <v>48</v>
      </c>
      <c r="E11" t="s">
        <v>45</v>
      </c>
      <c r="F11" t="s">
        <v>35</v>
      </c>
      <c r="G11" t="s">
        <v>54</v>
      </c>
      <c r="H11" t="s">
        <v>31</v>
      </c>
      <c r="I11" t="s">
        <v>51</v>
      </c>
      <c r="J11" t="s">
        <v>39</v>
      </c>
      <c r="K11" t="s">
        <v>24</v>
      </c>
      <c r="L11">
        <v>57.9</v>
      </c>
      <c r="M11">
        <f>AVERAGE(39.8,33.8)</f>
        <v>36.799999999999997</v>
      </c>
      <c r="N11">
        <v>26.8</v>
      </c>
      <c r="O11">
        <v>0</v>
      </c>
      <c r="P11">
        <v>11.2</v>
      </c>
      <c r="Q11">
        <v>88.7</v>
      </c>
      <c r="R11">
        <v>7</v>
      </c>
      <c r="S11">
        <v>8</v>
      </c>
      <c r="T11">
        <v>87.5</v>
      </c>
      <c r="U11" t="s">
        <v>52</v>
      </c>
    </row>
    <row r="12" spans="1:21" x14ac:dyDescent="0.25">
      <c r="A12" t="s">
        <v>53</v>
      </c>
      <c r="B12">
        <v>2006</v>
      </c>
      <c r="C12">
        <v>87</v>
      </c>
      <c r="D12">
        <v>54</v>
      </c>
      <c r="E12" t="s">
        <v>45</v>
      </c>
      <c r="F12" t="s">
        <v>35</v>
      </c>
      <c r="G12" t="s">
        <v>54</v>
      </c>
      <c r="H12" t="s">
        <v>54</v>
      </c>
      <c r="I12" t="s">
        <v>55</v>
      </c>
      <c r="J12" t="s">
        <v>39</v>
      </c>
      <c r="K12" t="s">
        <v>24</v>
      </c>
      <c r="L12">
        <f>AVERAGE(34.8, 34.6, 18)</f>
        <v>29.133333333333336</v>
      </c>
      <c r="M12">
        <f>AVERAGE(29, 32.3, 30.1)</f>
        <v>30.466666666666669</v>
      </c>
      <c r="N12">
        <v>18.399999999999999</v>
      </c>
      <c r="O12">
        <v>0</v>
      </c>
      <c r="P12">
        <v>0</v>
      </c>
      <c r="Q12">
        <v>100</v>
      </c>
      <c r="R12">
        <v>8</v>
      </c>
      <c r="S12">
        <v>8</v>
      </c>
      <c r="T12">
        <v>100</v>
      </c>
    </row>
    <row r="13" spans="1:21" x14ac:dyDescent="0.25">
      <c r="A13" t="s">
        <v>56</v>
      </c>
      <c r="B13">
        <v>2022</v>
      </c>
      <c r="C13">
        <v>1027</v>
      </c>
      <c r="D13">
        <v>340</v>
      </c>
      <c r="E13" t="s">
        <v>57</v>
      </c>
      <c r="F13" t="s">
        <v>20</v>
      </c>
      <c r="G13" t="s">
        <v>54</v>
      </c>
      <c r="H13" t="s">
        <v>21</v>
      </c>
      <c r="I13" t="s">
        <v>38</v>
      </c>
      <c r="J13" t="s">
        <v>39</v>
      </c>
      <c r="K13" t="s">
        <v>29</v>
      </c>
      <c r="L13">
        <f>AVERAGE(9.3, 10.7)</f>
        <v>10</v>
      </c>
      <c r="M13">
        <f>AVERAGE(41.4, 37.9)</f>
        <v>39.65</v>
      </c>
      <c r="N13">
        <v>45.4</v>
      </c>
      <c r="O13">
        <v>39.9</v>
      </c>
      <c r="P13">
        <v>12.1</v>
      </c>
      <c r="Q13">
        <v>48</v>
      </c>
      <c r="R13">
        <v>7</v>
      </c>
      <c r="S13">
        <v>8</v>
      </c>
      <c r="T13">
        <v>87.5</v>
      </c>
    </row>
    <row r="14" spans="1:21" x14ac:dyDescent="0.25">
      <c r="A14" t="s">
        <v>58</v>
      </c>
      <c r="B14">
        <v>2008</v>
      </c>
      <c r="C14">
        <v>54</v>
      </c>
      <c r="D14">
        <v>17</v>
      </c>
      <c r="E14" t="s">
        <v>48</v>
      </c>
      <c r="F14" t="s">
        <v>49</v>
      </c>
      <c r="G14" t="s">
        <v>69</v>
      </c>
      <c r="H14" t="s">
        <v>21</v>
      </c>
      <c r="I14" t="s">
        <v>38</v>
      </c>
      <c r="J14" t="s">
        <v>39</v>
      </c>
      <c r="K14" t="s">
        <v>29</v>
      </c>
      <c r="M14">
        <v>41.1</v>
      </c>
      <c r="N14">
        <f>100-68.5</f>
        <v>31.5</v>
      </c>
      <c r="O14">
        <v>44</v>
      </c>
      <c r="P14">
        <v>20.399999999999999</v>
      </c>
      <c r="Q14">
        <v>35.200000000000003</v>
      </c>
      <c r="R14">
        <v>3</v>
      </c>
      <c r="S14">
        <v>8</v>
      </c>
      <c r="T14">
        <v>37.5</v>
      </c>
    </row>
    <row r="15" spans="1:21" x14ac:dyDescent="0.25">
      <c r="A15" t="s">
        <v>59</v>
      </c>
      <c r="B15">
        <v>1986</v>
      </c>
      <c r="C15">
        <v>42</v>
      </c>
      <c r="D15">
        <v>31</v>
      </c>
      <c r="E15" t="s">
        <v>45</v>
      </c>
      <c r="F15" t="s">
        <v>35</v>
      </c>
      <c r="G15" t="s">
        <v>66</v>
      </c>
      <c r="H15" t="s">
        <v>31</v>
      </c>
      <c r="I15" t="s">
        <v>55</v>
      </c>
      <c r="J15" t="s">
        <v>39</v>
      </c>
      <c r="K15" t="s">
        <v>24</v>
      </c>
      <c r="L15">
        <v>60</v>
      </c>
      <c r="M15">
        <v>36</v>
      </c>
      <c r="N15">
        <v>85.7</v>
      </c>
      <c r="O15">
        <v>0</v>
      </c>
      <c r="P15">
        <v>0</v>
      </c>
      <c r="Q15">
        <v>100</v>
      </c>
      <c r="R15">
        <v>7</v>
      </c>
      <c r="S15">
        <v>11</v>
      </c>
      <c r="T15">
        <v>63.636363636363633</v>
      </c>
    </row>
    <row r="16" spans="1:21" x14ac:dyDescent="0.25">
      <c r="A16" t="s">
        <v>60</v>
      </c>
      <c r="B16">
        <v>1995</v>
      </c>
      <c r="C16">
        <v>15</v>
      </c>
      <c r="D16">
        <v>14</v>
      </c>
      <c r="E16" t="s">
        <v>34</v>
      </c>
      <c r="F16" t="s">
        <v>35</v>
      </c>
      <c r="G16" t="s">
        <v>66</v>
      </c>
      <c r="H16" t="s">
        <v>54</v>
      </c>
      <c r="I16" t="s">
        <v>55</v>
      </c>
      <c r="J16" t="s">
        <v>39</v>
      </c>
      <c r="K16" t="s">
        <v>24</v>
      </c>
      <c r="N16">
        <v>28.6</v>
      </c>
      <c r="R16">
        <v>3</v>
      </c>
      <c r="S16">
        <v>11</v>
      </c>
      <c r="T16">
        <v>27.27272727272727</v>
      </c>
    </row>
    <row r="17" spans="1:21" x14ac:dyDescent="0.25">
      <c r="A17" t="s">
        <v>61</v>
      </c>
      <c r="B17">
        <v>2015</v>
      </c>
      <c r="C17">
        <v>60</v>
      </c>
      <c r="D17">
        <v>52</v>
      </c>
      <c r="E17" t="s">
        <v>48</v>
      </c>
      <c r="F17" t="s">
        <v>49</v>
      </c>
      <c r="G17" t="s">
        <v>69</v>
      </c>
      <c r="H17" t="s">
        <v>21</v>
      </c>
      <c r="I17" t="s">
        <v>38</v>
      </c>
      <c r="J17" t="s">
        <v>39</v>
      </c>
      <c r="K17" t="s">
        <v>24</v>
      </c>
      <c r="L17">
        <v>171.6</v>
      </c>
      <c r="M17">
        <v>46</v>
      </c>
      <c r="N17">
        <v>22</v>
      </c>
      <c r="O17">
        <v>0</v>
      </c>
      <c r="P17">
        <v>50</v>
      </c>
      <c r="Q17">
        <v>50</v>
      </c>
      <c r="R17">
        <v>3</v>
      </c>
      <c r="S17">
        <v>8</v>
      </c>
      <c r="T17">
        <v>37.5</v>
      </c>
      <c r="U17" t="s">
        <v>62</v>
      </c>
    </row>
    <row r="18" spans="1:21" x14ac:dyDescent="0.25">
      <c r="A18" t="s">
        <v>63</v>
      </c>
      <c r="B18">
        <v>2015</v>
      </c>
      <c r="C18">
        <v>22</v>
      </c>
      <c r="D18">
        <v>13</v>
      </c>
      <c r="E18" t="s">
        <v>42</v>
      </c>
      <c r="F18" t="s">
        <v>35</v>
      </c>
      <c r="G18" t="s">
        <v>66</v>
      </c>
      <c r="H18" t="s">
        <v>31</v>
      </c>
      <c r="I18" t="s">
        <v>64</v>
      </c>
      <c r="J18" t="s">
        <v>23</v>
      </c>
      <c r="K18" t="s">
        <v>24</v>
      </c>
      <c r="L18">
        <f>388.65/30</f>
        <v>12.955</v>
      </c>
      <c r="M18">
        <v>43.6</v>
      </c>
      <c r="N18">
        <v>36.4</v>
      </c>
      <c r="O18">
        <v>0</v>
      </c>
      <c r="P18">
        <v>0</v>
      </c>
      <c r="Q18">
        <v>100</v>
      </c>
      <c r="R18">
        <v>5</v>
      </c>
      <c r="S18">
        <v>11</v>
      </c>
      <c r="T18">
        <v>45.454545454545453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Bell, Vaughan</dc:creator>
  <dc:description/>
  <cp:lastModifiedBy>Bell, Vaughan</cp:lastModifiedBy>
  <cp:revision>13</cp:revision>
  <dcterms:created xsi:type="dcterms:W3CDTF">2024-12-06T11:07:30Z</dcterms:created>
  <dcterms:modified xsi:type="dcterms:W3CDTF">2026-01-18T09:30:12Z</dcterms:modified>
  <dc:language>en-GB</dc:language>
</cp:coreProperties>
</file>